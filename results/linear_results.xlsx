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elauna/Desktop/"/>
    </mc:Choice>
  </mc:AlternateContent>
  <xr:revisionPtr revIDLastSave="0" documentId="13_ncr:1_{74CE0F91-6377-284C-AD3E-0AA20F108DF2}" xr6:coauthVersionLast="46" xr6:coauthVersionMax="46" xr10:uidLastSave="{00000000-0000-0000-0000-000000000000}"/>
  <bookViews>
    <workbookView xWindow="0" yWindow="0" windowWidth="35840" windowHeight="22400" xr2:uid="{A51D70AC-358A-944C-8D93-2AA9DA2782FF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D57" i="1"/>
  <c r="H37" i="1"/>
  <c r="G37" i="1"/>
  <c r="E37" i="1"/>
  <c r="D37" i="1"/>
  <c r="D26" i="1"/>
  <c r="E26" i="1"/>
  <c r="C26" i="1"/>
  <c r="E64" i="1"/>
  <c r="D64" i="1"/>
  <c r="C64" i="1"/>
  <c r="E61" i="1"/>
  <c r="D61" i="1"/>
  <c r="C61" i="1"/>
  <c r="E54" i="1"/>
  <c r="D54" i="1"/>
  <c r="C54" i="1"/>
  <c r="E51" i="1"/>
  <c r="D51" i="1"/>
  <c r="C51" i="1"/>
  <c r="D45" i="1"/>
  <c r="E45" i="1"/>
  <c r="F45" i="1"/>
  <c r="C45" i="1"/>
  <c r="D42" i="1"/>
  <c r="E42" i="1"/>
  <c r="C42" i="1"/>
  <c r="E34" i="1"/>
  <c r="D34" i="1"/>
  <c r="C34" i="1"/>
  <c r="I31" i="1"/>
  <c r="J31" i="1"/>
  <c r="K31" i="1"/>
  <c r="E31" i="1"/>
  <c r="D31" i="1"/>
  <c r="C31" i="1"/>
  <c r="E22" i="1"/>
  <c r="D22" i="1"/>
  <c r="C22" i="1"/>
  <c r="D19" i="1"/>
  <c r="E19" i="1"/>
  <c r="C19" i="1"/>
  <c r="C11" i="1"/>
  <c r="D11" i="1"/>
  <c r="E11" i="1"/>
  <c r="F11" i="1"/>
  <c r="C10" i="1"/>
  <c r="D10" i="1"/>
  <c r="E10" i="1"/>
  <c r="F10" i="1"/>
  <c r="B11" i="1"/>
  <c r="B10" i="1"/>
  <c r="F9" i="1"/>
  <c r="E9" i="1"/>
  <c r="D9" i="1"/>
  <c r="C9" i="1"/>
  <c r="B9" i="1"/>
</calcChain>
</file>

<file path=xl/sharedStrings.xml><?xml version="1.0" encoding="utf-8"?>
<sst xmlns="http://schemas.openxmlformats.org/spreadsheetml/2006/main" count="190" uniqueCount="42">
  <si>
    <t>Score linear model</t>
  </si>
  <si>
    <t>Titanic</t>
  </si>
  <si>
    <t>Local surrogate</t>
  </si>
  <si>
    <t>Lime traditional</t>
  </si>
  <si>
    <t>LS extending sphere</t>
  </si>
  <si>
    <t>LS raw data</t>
  </si>
  <si>
    <t>Generate moon</t>
  </si>
  <si>
    <t>Generate blobs</t>
  </si>
  <si>
    <t>Generate blob</t>
  </si>
  <si>
    <t>Diabete</t>
  </si>
  <si>
    <t>Adult</t>
  </si>
  <si>
    <t>blood</t>
  </si>
  <si>
    <t>Local Surrogate</t>
  </si>
  <si>
    <t>Moyenne</t>
  </si>
  <si>
    <t>Moyenne continues</t>
  </si>
  <si>
    <t>Moyenne catégoriques</t>
  </si>
  <si>
    <t>LS linear regression</t>
  </si>
  <si>
    <t>Generate moons</t>
  </si>
  <si>
    <t>LS</t>
  </si>
  <si>
    <t>APE</t>
  </si>
  <si>
    <t>Anchors</t>
  </si>
  <si>
    <t>MLP</t>
  </si>
  <si>
    <t>Mean F1</t>
  </si>
  <si>
    <t>F1</t>
  </si>
  <si>
    <t>Precision</t>
  </si>
  <si>
    <t>Mean Precision</t>
  </si>
  <si>
    <t>Recall</t>
  </si>
  <si>
    <t>mean recall</t>
  </si>
  <si>
    <t>Lime</t>
  </si>
  <si>
    <t>Random</t>
  </si>
  <si>
    <t>Blood</t>
  </si>
  <si>
    <t>mean F1</t>
  </si>
  <si>
    <t>mean Precision</t>
  </si>
  <si>
    <t>Coverage</t>
  </si>
  <si>
    <t>mean Coverage</t>
  </si>
  <si>
    <t>Mean Coverage</t>
  </si>
  <si>
    <t>Gradient Boosting</t>
  </si>
  <si>
    <t>Decision Tree</t>
  </si>
  <si>
    <t>Ridge Classifier</t>
  </si>
  <si>
    <t>Voting Classifier</t>
  </si>
  <si>
    <t>Logistic Regression</t>
  </si>
  <si>
    <t>Utilisateurs Simulés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</si>
</sst>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CF36-CD70-BF46-B19E-6DC04BAD4B9F}">
  <dimension ref="A1:AI77"/>
  <sheetViews>
    <sheetView tabSelected="1" topLeftCell="A23" zoomScale="90" zoomScaleNormal="90" workbookViewId="0">
      <selection activeCell="A72" sqref="A72"/>
    </sheetView>
  </sheetViews>
  <sheetFormatPr baseColWidth="10" defaultRowHeight="16" x14ac:dyDescent="0.2"/>
  <cols>
    <col min="1" max="1" width="49" bestFit="1" customWidth="1"/>
    <col min="2" max="3" width="17.6640625" bestFit="1" customWidth="1"/>
    <col min="4" max="4" width="17.33203125" bestFit="1" customWidth="1"/>
    <col min="5" max="5" width="18.83203125" bestFit="1" customWidth="1"/>
    <col min="6" max="6" width="18.5" bestFit="1" customWidth="1"/>
    <col min="7" max="7" width="14.5" bestFit="1" customWidth="1"/>
    <col min="8" max="8" width="13.6640625" bestFit="1" customWidth="1"/>
    <col min="9" max="9" width="17.6640625" bestFit="1" customWidth="1"/>
    <col min="10" max="10" width="18.5" bestFit="1" customWidth="1"/>
    <col min="12" max="12" width="14.1640625" bestFit="1" customWidth="1"/>
    <col min="13" max="13" width="13.6640625" bestFit="1" customWidth="1"/>
    <col min="14" max="14" width="17.6640625" bestFit="1" customWidth="1"/>
    <col min="15" max="15" width="18.5" bestFit="1" customWidth="1"/>
    <col min="17" max="17" width="14.1640625" bestFit="1" customWidth="1"/>
    <col min="18" max="18" width="13.6640625" bestFit="1" customWidth="1"/>
    <col min="19" max="19" width="17.6640625" bestFit="1" customWidth="1"/>
    <col min="20" max="20" width="18.5" bestFit="1" customWidth="1"/>
    <col min="22" max="22" width="14.1640625" bestFit="1" customWidth="1"/>
    <col min="23" max="23" width="13.6640625" bestFit="1" customWidth="1"/>
    <col min="24" max="24" width="17.6640625" bestFit="1" customWidth="1"/>
    <col min="25" max="25" width="18.5" bestFit="1" customWidth="1"/>
    <col min="27" max="27" width="14.1640625" bestFit="1" customWidth="1"/>
    <col min="28" max="28" width="13.6640625" bestFit="1" customWidth="1"/>
    <col min="29" max="29" width="17.6640625" bestFit="1" customWidth="1"/>
    <col min="30" max="30" width="18.5" bestFit="1" customWidth="1"/>
    <col min="32" max="32" width="14.1640625" bestFit="1" customWidth="1"/>
    <col min="33" max="33" width="13.6640625" bestFit="1" customWidth="1"/>
    <col min="34" max="34" width="17.6640625" bestFit="1" customWidth="1"/>
    <col min="35" max="35" width="18.5" bestFit="1" customWidth="1"/>
    <col min="37" max="37" width="14.1640625" bestFit="1" customWidth="1"/>
  </cols>
  <sheetData>
    <row r="1" spans="1:35" ht="47" x14ac:dyDescent="0.55000000000000004">
      <c r="A1" s="6" t="s">
        <v>0</v>
      </c>
    </row>
    <row r="3" spans="1:35" ht="24" x14ac:dyDescent="0.3">
      <c r="A3" s="5" t="s">
        <v>1</v>
      </c>
      <c r="B3" s="5"/>
      <c r="C3" s="5"/>
      <c r="D3" s="5"/>
      <c r="E3" s="5"/>
      <c r="F3" s="5" t="s">
        <v>6</v>
      </c>
      <c r="G3" s="5"/>
      <c r="H3" s="5"/>
      <c r="I3" s="5"/>
      <c r="J3" s="5"/>
      <c r="K3" s="5" t="s">
        <v>7</v>
      </c>
      <c r="L3" s="5"/>
      <c r="M3" s="5"/>
      <c r="N3" s="5"/>
      <c r="O3" s="5"/>
      <c r="P3" s="5" t="s">
        <v>8</v>
      </c>
      <c r="Q3" s="5"/>
      <c r="R3" s="5"/>
      <c r="S3" s="5"/>
      <c r="T3" s="5"/>
      <c r="U3" s="5" t="s">
        <v>9</v>
      </c>
      <c r="V3" s="5"/>
      <c r="W3" s="5"/>
      <c r="X3" s="5"/>
      <c r="Y3" s="5"/>
      <c r="Z3" s="5" t="s">
        <v>11</v>
      </c>
      <c r="AA3" s="5"/>
      <c r="AB3" s="5"/>
      <c r="AC3" s="5"/>
      <c r="AD3" s="5"/>
      <c r="AE3" s="5" t="s">
        <v>10</v>
      </c>
      <c r="AF3" s="5"/>
      <c r="AG3" s="5"/>
      <c r="AH3" s="5"/>
      <c r="AI3" s="5"/>
    </row>
    <row r="4" spans="1:35" x14ac:dyDescent="0.2">
      <c r="A4" t="s">
        <v>2</v>
      </c>
      <c r="B4" t="s">
        <v>4</v>
      </c>
      <c r="C4" t="s">
        <v>16</v>
      </c>
      <c r="D4" t="s">
        <v>5</v>
      </c>
      <c r="E4" t="s">
        <v>3</v>
      </c>
      <c r="F4" t="s">
        <v>2</v>
      </c>
      <c r="G4" t="s">
        <v>4</v>
      </c>
      <c r="H4" t="s">
        <v>16</v>
      </c>
      <c r="I4" t="s">
        <v>5</v>
      </c>
      <c r="J4" t="s">
        <v>3</v>
      </c>
      <c r="K4" t="s">
        <v>2</v>
      </c>
      <c r="L4" t="s">
        <v>4</v>
      </c>
      <c r="M4" t="s">
        <v>16</v>
      </c>
      <c r="N4" t="s">
        <v>5</v>
      </c>
      <c r="O4" t="s">
        <v>3</v>
      </c>
      <c r="P4" t="s">
        <v>2</v>
      </c>
      <c r="Q4" t="s">
        <v>4</v>
      </c>
      <c r="R4" t="s">
        <v>16</v>
      </c>
      <c r="S4" t="s">
        <v>5</v>
      </c>
      <c r="T4" t="s">
        <v>3</v>
      </c>
      <c r="U4" t="s">
        <v>2</v>
      </c>
      <c r="V4" t="s">
        <v>4</v>
      </c>
      <c r="W4" t="s">
        <v>16</v>
      </c>
      <c r="X4" t="s">
        <v>5</v>
      </c>
      <c r="Y4" t="s">
        <v>3</v>
      </c>
      <c r="Z4" t="s">
        <v>2</v>
      </c>
      <c r="AA4" t="s">
        <v>4</v>
      </c>
      <c r="AB4" t="s">
        <v>16</v>
      </c>
      <c r="AC4" t="s">
        <v>5</v>
      </c>
      <c r="AD4" t="s">
        <v>3</v>
      </c>
      <c r="AE4" s="1" t="s">
        <v>2</v>
      </c>
      <c r="AF4" s="1" t="s">
        <v>4</v>
      </c>
      <c r="AG4" s="1" t="s">
        <v>16</v>
      </c>
      <c r="AH4" s="1" t="s">
        <v>5</v>
      </c>
      <c r="AI4" s="1" t="s">
        <v>3</v>
      </c>
    </row>
    <row r="5" spans="1:35" x14ac:dyDescent="0.2">
      <c r="A5">
        <v>0.34</v>
      </c>
      <c r="B5">
        <v>0.31</v>
      </c>
      <c r="C5">
        <v>0.34</v>
      </c>
      <c r="D5">
        <v>0.3</v>
      </c>
      <c r="E5">
        <v>0.28999999999999998</v>
      </c>
      <c r="F5">
        <v>0.65</v>
      </c>
      <c r="G5">
        <v>0.66</v>
      </c>
      <c r="H5">
        <v>0.67</v>
      </c>
      <c r="I5">
        <v>0.64</v>
      </c>
      <c r="J5">
        <v>0.6</v>
      </c>
      <c r="K5">
        <v>0.59</v>
      </c>
      <c r="L5">
        <v>0.59</v>
      </c>
      <c r="M5">
        <v>0.6</v>
      </c>
      <c r="N5">
        <v>0.6</v>
      </c>
      <c r="O5">
        <v>0.57999999999999996</v>
      </c>
      <c r="P5">
        <v>0.65</v>
      </c>
      <c r="Q5">
        <v>0.69</v>
      </c>
      <c r="R5">
        <v>0.68</v>
      </c>
      <c r="S5">
        <v>0.66</v>
      </c>
      <c r="T5">
        <v>0.69</v>
      </c>
      <c r="U5">
        <v>0.28999999999999998</v>
      </c>
      <c r="V5">
        <v>0.28000000000000003</v>
      </c>
      <c r="W5">
        <v>0.31</v>
      </c>
      <c r="X5">
        <v>0.38</v>
      </c>
      <c r="Y5">
        <v>0.3</v>
      </c>
      <c r="Z5">
        <v>0.35</v>
      </c>
      <c r="AA5">
        <v>0.32</v>
      </c>
      <c r="AB5">
        <v>0.34</v>
      </c>
      <c r="AC5">
        <v>0.3</v>
      </c>
      <c r="AD5">
        <v>0.32</v>
      </c>
      <c r="AE5">
        <v>0.32</v>
      </c>
      <c r="AF5">
        <v>0.27</v>
      </c>
      <c r="AG5">
        <v>0.33</v>
      </c>
      <c r="AH5">
        <v>0.31</v>
      </c>
      <c r="AI5">
        <v>0.32</v>
      </c>
    </row>
    <row r="8" spans="1:35" x14ac:dyDescent="0.2">
      <c r="B8" t="s">
        <v>12</v>
      </c>
      <c r="C8" t="s">
        <v>4</v>
      </c>
      <c r="D8" t="s">
        <v>16</v>
      </c>
      <c r="E8" t="s">
        <v>5</v>
      </c>
      <c r="F8" t="s">
        <v>3</v>
      </c>
    </row>
    <row r="9" spans="1:35" x14ac:dyDescent="0.2">
      <c r="A9" t="s">
        <v>13</v>
      </c>
      <c r="B9" s="2">
        <f>AVERAGE(A5,F5,K5,P5,U5,Z5,AE5)</f>
        <v>0.45571428571428568</v>
      </c>
      <c r="C9" s="2">
        <f>AVERAGE(B5,G5,L5,Q5,V5,AA5,AF5)</f>
        <v>0.44571428571428573</v>
      </c>
      <c r="D9" s="2">
        <f>AVERAGE(C5,H5,M5,R5,W5,AB5,AG5)</f>
        <v>0.46714285714285714</v>
      </c>
      <c r="E9" s="2">
        <f>AVERAGE(D5,I5,N5,S5,X5,AC5,AH5)</f>
        <v>0.45571428571428568</v>
      </c>
      <c r="F9" s="2">
        <f>AVERAGE(E5,J5,O5,T5,Y5,AD5,AI5)</f>
        <v>0.44285714285714273</v>
      </c>
    </row>
    <row r="10" spans="1:35" x14ac:dyDescent="0.2">
      <c r="A10" t="s">
        <v>14</v>
      </c>
      <c r="B10" s="2">
        <f>AVERAGE(F5,K5,P5)</f>
        <v>0.63</v>
      </c>
      <c r="C10" s="2">
        <f t="shared" ref="C10:F10" si="0">AVERAGE(G5,L5,Q5)</f>
        <v>0.64666666666666661</v>
      </c>
      <c r="D10" s="2">
        <f t="shared" si="0"/>
        <v>0.65</v>
      </c>
      <c r="E10" s="2">
        <f t="shared" si="0"/>
        <v>0.6333333333333333</v>
      </c>
      <c r="F10" s="2">
        <f t="shared" si="0"/>
        <v>0.62333333333333329</v>
      </c>
    </row>
    <row r="11" spans="1:35" x14ac:dyDescent="0.2">
      <c r="A11" t="s">
        <v>15</v>
      </c>
      <c r="B11" s="2">
        <f>AVERAGE(A5,U5,Z5,AE5)</f>
        <v>0.32500000000000001</v>
      </c>
      <c r="C11" s="2">
        <f>AVERAGE(B5,V5,AA5,AF5)</f>
        <v>0.29500000000000004</v>
      </c>
      <c r="D11" s="2">
        <f>AVERAGE(C5,W5,AB5,AG5)</f>
        <v>0.33</v>
      </c>
      <c r="E11" s="2">
        <f>AVERAGE(D5,X5,AC5,AH5)</f>
        <v>0.32250000000000001</v>
      </c>
      <c r="F11" s="2">
        <f>AVERAGE(E5,Y5,AD5,AI5)</f>
        <v>0.3075</v>
      </c>
    </row>
    <row r="16" spans="1:35" ht="24" x14ac:dyDescent="0.3">
      <c r="C16" s="4" t="s">
        <v>36</v>
      </c>
      <c r="D16" s="4"/>
      <c r="E16" s="4"/>
      <c r="F16" s="4" t="s">
        <v>37</v>
      </c>
      <c r="G16" s="4"/>
      <c r="H16" s="4"/>
      <c r="I16" s="4" t="s">
        <v>38</v>
      </c>
      <c r="J16" s="4"/>
      <c r="K16" s="4"/>
      <c r="L16" s="4" t="s">
        <v>39</v>
      </c>
      <c r="M16" s="4"/>
      <c r="N16" s="4"/>
      <c r="O16" s="4" t="s">
        <v>21</v>
      </c>
      <c r="P16" s="4"/>
      <c r="Q16" s="4"/>
      <c r="R16" s="4" t="s">
        <v>40</v>
      </c>
      <c r="S16" s="4"/>
      <c r="T16" s="4"/>
    </row>
    <row r="17" spans="1:20" ht="24" x14ac:dyDescent="0.3">
      <c r="A17" s="7" t="s">
        <v>17</v>
      </c>
      <c r="C17" s="8" t="s">
        <v>18</v>
      </c>
      <c r="D17" s="8" t="s">
        <v>19</v>
      </c>
      <c r="E17" s="8" t="s">
        <v>20</v>
      </c>
      <c r="F17" s="8" t="s">
        <v>18</v>
      </c>
      <c r="G17" s="8" t="s">
        <v>19</v>
      </c>
      <c r="H17" s="8" t="s">
        <v>20</v>
      </c>
      <c r="I17" s="8" t="s">
        <v>18</v>
      </c>
      <c r="J17" s="8" t="s">
        <v>19</v>
      </c>
      <c r="K17" s="8" t="s">
        <v>20</v>
      </c>
      <c r="L17" s="8" t="s">
        <v>18</v>
      </c>
      <c r="M17" s="8" t="s">
        <v>19</v>
      </c>
      <c r="N17" s="8" t="s">
        <v>20</v>
      </c>
      <c r="O17" s="8" t="s">
        <v>18</v>
      </c>
      <c r="P17" s="8" t="s">
        <v>19</v>
      </c>
      <c r="Q17" s="8" t="s">
        <v>20</v>
      </c>
      <c r="R17" s="8" t="s">
        <v>18</v>
      </c>
      <c r="S17" s="8" t="s">
        <v>19</v>
      </c>
      <c r="T17" s="8" t="s">
        <v>20</v>
      </c>
    </row>
    <row r="18" spans="1:20" x14ac:dyDescent="0.2">
      <c r="B18" t="s">
        <v>23</v>
      </c>
      <c r="C18">
        <v>0.45</v>
      </c>
      <c r="D18">
        <v>0.65</v>
      </c>
      <c r="E18">
        <v>0.66</v>
      </c>
      <c r="F18">
        <v>0.48</v>
      </c>
      <c r="G18">
        <v>0.66</v>
      </c>
      <c r="H18">
        <v>0.66</v>
      </c>
      <c r="I18">
        <v>0.74</v>
      </c>
      <c r="J18">
        <v>0.72</v>
      </c>
      <c r="K18">
        <v>0.7</v>
      </c>
      <c r="L18">
        <v>0.73</v>
      </c>
      <c r="M18">
        <v>0.73</v>
      </c>
      <c r="N18" s="3">
        <v>0.71</v>
      </c>
      <c r="O18">
        <v>0.65</v>
      </c>
      <c r="P18">
        <v>0.67</v>
      </c>
      <c r="Q18">
        <v>0.68</v>
      </c>
      <c r="R18">
        <v>0.72</v>
      </c>
      <c r="S18">
        <v>0.76</v>
      </c>
      <c r="T18">
        <v>0.71</v>
      </c>
    </row>
    <row r="19" spans="1:20" x14ac:dyDescent="0.2">
      <c r="B19" t="s">
        <v>22</v>
      </c>
      <c r="C19" s="2">
        <f>AVERAGE(C18,F18,I18,L18,O18,R18)</f>
        <v>0.6283333333333333</v>
      </c>
      <c r="D19" s="2">
        <f>AVERAGE(D18,G18,J18,M18,P18,S18)</f>
        <v>0.69833333333333336</v>
      </c>
      <c r="E19" s="2">
        <f>AVERAGE(E18,H18,K18,N18,Q18,T18)</f>
        <v>0.68666666666666665</v>
      </c>
    </row>
    <row r="21" spans="1:20" x14ac:dyDescent="0.2">
      <c r="B21" t="s">
        <v>24</v>
      </c>
      <c r="C21">
        <v>0.88</v>
      </c>
      <c r="D21">
        <v>0.92</v>
      </c>
      <c r="E21">
        <v>0.94</v>
      </c>
      <c r="F21">
        <v>0.91</v>
      </c>
      <c r="G21">
        <v>0.94</v>
      </c>
      <c r="H21">
        <v>0.94</v>
      </c>
      <c r="I21">
        <v>0.98</v>
      </c>
      <c r="J21">
        <v>0.98</v>
      </c>
      <c r="K21">
        <v>0.97</v>
      </c>
      <c r="L21">
        <v>0.98</v>
      </c>
      <c r="M21">
        <v>0.98</v>
      </c>
      <c r="N21">
        <v>0.97</v>
      </c>
      <c r="O21">
        <v>0.95</v>
      </c>
      <c r="P21">
        <v>0.98</v>
      </c>
      <c r="Q21">
        <v>0.99</v>
      </c>
      <c r="R21">
        <v>0.97</v>
      </c>
      <c r="S21">
        <v>0.98</v>
      </c>
      <c r="T21">
        <v>0.97</v>
      </c>
    </row>
    <row r="22" spans="1:20" x14ac:dyDescent="0.2">
      <c r="B22" t="s">
        <v>25</v>
      </c>
      <c r="C22" s="2">
        <f>AVERAGE(C21,F21,I21,L21,O21,R21)</f>
        <v>0.94499999999999995</v>
      </c>
      <c r="D22" s="2">
        <f>AVERAGE(D21,G21,J21,M21,P21,S21)</f>
        <v>0.96333333333333326</v>
      </c>
      <c r="E22" s="2">
        <f>AVERAGE(E21,H21,K21,N21,Q21,T21)</f>
        <v>0.96333333333333326</v>
      </c>
    </row>
    <row r="23" spans="1:20" x14ac:dyDescent="0.2">
      <c r="D23">
        <v>0.97</v>
      </c>
      <c r="E23">
        <v>0.97</v>
      </c>
    </row>
    <row r="25" spans="1:20" x14ac:dyDescent="0.2">
      <c r="B25" t="s">
        <v>33</v>
      </c>
      <c r="C25" s="3">
        <v>0.04</v>
      </c>
      <c r="D25" s="3">
        <v>0.38</v>
      </c>
      <c r="E25" s="3">
        <v>0.42</v>
      </c>
      <c r="F25" s="3">
        <v>0.08</v>
      </c>
      <c r="G25" s="3">
        <v>0.36</v>
      </c>
      <c r="H25" s="3">
        <v>0.38</v>
      </c>
      <c r="I25" s="3">
        <v>0.5</v>
      </c>
      <c r="J25" s="3">
        <v>0.46</v>
      </c>
      <c r="K25" s="3">
        <v>0.42</v>
      </c>
      <c r="L25" s="3">
        <v>0.49</v>
      </c>
      <c r="M25" s="3">
        <v>0.5</v>
      </c>
      <c r="N25" s="3">
        <v>0.42</v>
      </c>
      <c r="O25" s="3">
        <v>0.32</v>
      </c>
      <c r="P25" s="3">
        <v>0.36</v>
      </c>
      <c r="Q25" s="3">
        <v>0.41</v>
      </c>
      <c r="R25" s="3">
        <v>0.43</v>
      </c>
      <c r="S25">
        <v>0.5</v>
      </c>
      <c r="T25">
        <v>0.42</v>
      </c>
    </row>
    <row r="26" spans="1:20" x14ac:dyDescent="0.2">
      <c r="B26" t="s">
        <v>34</v>
      </c>
      <c r="C26" s="2">
        <f>AVERAGE(C25,F25,I25,L25,O25,R25)</f>
        <v>0.31</v>
      </c>
      <c r="D26" s="2">
        <f t="shared" ref="D26:E26" si="1">AVERAGE(D25,G25,J25,M25,P25,S25)</f>
        <v>0.42666666666666669</v>
      </c>
      <c r="E26" s="2">
        <f t="shared" si="1"/>
        <v>0.41166666666666663</v>
      </c>
    </row>
    <row r="29" spans="1:20" ht="24" x14ac:dyDescent="0.3">
      <c r="A29" s="7" t="s">
        <v>1</v>
      </c>
      <c r="B29" t="s">
        <v>23</v>
      </c>
      <c r="C29">
        <v>0.5</v>
      </c>
      <c r="D29">
        <v>0.52</v>
      </c>
      <c r="E29">
        <v>0.52</v>
      </c>
      <c r="F29">
        <v>0.5</v>
      </c>
      <c r="G29">
        <v>0.47</v>
      </c>
      <c r="H29">
        <v>0.44</v>
      </c>
      <c r="I29">
        <v>0.75</v>
      </c>
      <c r="J29">
        <v>0.88</v>
      </c>
      <c r="K29">
        <v>0.98</v>
      </c>
      <c r="L29">
        <v>0.53</v>
      </c>
      <c r="M29">
        <v>0.71</v>
      </c>
      <c r="N29">
        <v>0.94</v>
      </c>
      <c r="O29">
        <v>0.56999999999999995</v>
      </c>
      <c r="P29">
        <v>0.65</v>
      </c>
      <c r="Q29">
        <v>0.72</v>
      </c>
      <c r="R29">
        <v>0.51</v>
      </c>
      <c r="S29">
        <v>0.55000000000000004</v>
      </c>
      <c r="T29">
        <v>0.63</v>
      </c>
    </row>
    <row r="31" spans="1:20" x14ac:dyDescent="0.2">
      <c r="B31" t="s">
        <v>22</v>
      </c>
      <c r="C31" s="2">
        <f>AVERAGE(C29,F29,I29,L29,O29,R29)</f>
        <v>0.56000000000000005</v>
      </c>
      <c r="D31" s="2">
        <f t="shared" ref="D31" si="2">AVERAGE(D29,G29,J29,M29,P29,S29)</f>
        <v>0.63</v>
      </c>
      <c r="E31" s="2">
        <f>AVERAGE(E29,H29,K29,N29,Q29,T29)</f>
        <v>0.70499999999999996</v>
      </c>
      <c r="I31" s="2">
        <f>AVERAGE(I29,L29,O29,F29)</f>
        <v>0.58750000000000002</v>
      </c>
      <c r="J31" s="2">
        <f t="shared" ref="J31:K31" si="3">AVERAGE(J29,M29,P29,G29)</f>
        <v>0.67749999999999999</v>
      </c>
      <c r="K31">
        <f t="shared" si="3"/>
        <v>0.76999999999999991</v>
      </c>
    </row>
    <row r="33" spans="1:20" x14ac:dyDescent="0.2">
      <c r="B33" t="s">
        <v>24</v>
      </c>
      <c r="C33">
        <v>1</v>
      </c>
      <c r="D33">
        <v>0.93</v>
      </c>
      <c r="E33">
        <v>0.87</v>
      </c>
      <c r="F33">
        <v>0.99</v>
      </c>
      <c r="G33">
        <v>0.85</v>
      </c>
      <c r="H33">
        <v>0.73</v>
      </c>
      <c r="I33">
        <v>1</v>
      </c>
      <c r="J33">
        <v>0.99</v>
      </c>
      <c r="K33">
        <v>0.96</v>
      </c>
      <c r="L33">
        <v>0.99</v>
      </c>
      <c r="M33">
        <v>0.96</v>
      </c>
      <c r="N33">
        <v>0.96</v>
      </c>
      <c r="O33">
        <v>0.99</v>
      </c>
      <c r="P33">
        <v>0.93</v>
      </c>
      <c r="Q33">
        <v>0.82</v>
      </c>
      <c r="R33">
        <v>0.99</v>
      </c>
      <c r="S33">
        <v>0.97</v>
      </c>
      <c r="T33">
        <v>0.89</v>
      </c>
    </row>
    <row r="34" spans="1:20" x14ac:dyDescent="0.2">
      <c r="B34" t="s">
        <v>25</v>
      </c>
      <c r="C34" s="2">
        <f>AVERAGE(C33,F33,I33,L33,O33,R33)</f>
        <v>0.99333333333333351</v>
      </c>
      <c r="D34" s="2">
        <f>AVERAGE(D33,G33,J33,M33,P33,S33)</f>
        <v>0.93833333333333335</v>
      </c>
      <c r="E34" s="2">
        <f>AVERAGE(E33,H33,K33,N33,Q33,T33)</f>
        <v>0.87166666666666659</v>
      </c>
    </row>
    <row r="35" spans="1:20" x14ac:dyDescent="0.2">
      <c r="C35" s="2"/>
      <c r="D35" s="2"/>
      <c r="E35" s="2"/>
    </row>
    <row r="36" spans="1:20" x14ac:dyDescent="0.2">
      <c r="B36" t="s">
        <v>33</v>
      </c>
      <c r="D36">
        <v>0.11</v>
      </c>
      <c r="E36">
        <v>0.17</v>
      </c>
      <c r="G36">
        <v>0.09</v>
      </c>
      <c r="H36">
        <v>0.14000000000000001</v>
      </c>
      <c r="J36">
        <v>0.78</v>
      </c>
      <c r="K36">
        <v>1</v>
      </c>
      <c r="M36">
        <v>0.46</v>
      </c>
      <c r="N36">
        <v>0.93</v>
      </c>
      <c r="P36">
        <v>0.37</v>
      </c>
      <c r="Q36">
        <v>0.62</v>
      </c>
      <c r="S36">
        <v>0.13</v>
      </c>
      <c r="T36">
        <v>0.38</v>
      </c>
    </row>
    <row r="37" spans="1:20" x14ac:dyDescent="0.2">
      <c r="B37" t="s">
        <v>34</v>
      </c>
      <c r="D37" s="2">
        <f t="shared" ref="D37" si="4">AVERAGE(D36,G36,J36,M36,P36,S36)</f>
        <v>0.32333333333333331</v>
      </c>
      <c r="E37" s="2">
        <f t="shared" ref="E37" si="5">AVERAGE(E36,H36,K36,N36,Q36,T36)</f>
        <v>0.54</v>
      </c>
      <c r="G37">
        <f>AVERAGE(G36,J36,M36,S36)</f>
        <v>0.36499999999999999</v>
      </c>
      <c r="H37">
        <f>AVERAGE(H36,K36,N36,T36)</f>
        <v>0.61250000000000004</v>
      </c>
    </row>
    <row r="40" spans="1:20" x14ac:dyDescent="0.2">
      <c r="C40" s="8" t="s">
        <v>28</v>
      </c>
      <c r="D40" s="8" t="s">
        <v>18</v>
      </c>
      <c r="E40" s="8" t="s">
        <v>29</v>
      </c>
      <c r="F40" s="8" t="s">
        <v>28</v>
      </c>
      <c r="G40" s="8" t="s">
        <v>18</v>
      </c>
      <c r="H40" s="8" t="s">
        <v>29</v>
      </c>
      <c r="I40" s="8" t="s">
        <v>28</v>
      </c>
      <c r="J40" s="8" t="s">
        <v>18</v>
      </c>
      <c r="K40" s="8" t="s">
        <v>29</v>
      </c>
    </row>
    <row r="41" spans="1:20" ht="24" x14ac:dyDescent="0.3">
      <c r="A41" s="7" t="s">
        <v>7</v>
      </c>
      <c r="B41" t="s">
        <v>26</v>
      </c>
      <c r="C41">
        <v>0.76</v>
      </c>
      <c r="D41">
        <v>0.82</v>
      </c>
      <c r="E41">
        <v>0.28000000000000003</v>
      </c>
      <c r="F41">
        <v>0.69</v>
      </c>
      <c r="G41">
        <v>0.68</v>
      </c>
      <c r="H41">
        <v>0.48</v>
      </c>
      <c r="I41">
        <v>0.86</v>
      </c>
      <c r="J41">
        <v>0.87</v>
      </c>
      <c r="K41">
        <v>0.56999999999999995</v>
      </c>
    </row>
    <row r="42" spans="1:20" x14ac:dyDescent="0.2">
      <c r="B42" t="s">
        <v>27</v>
      </c>
      <c r="C42" s="2">
        <f>AVERAGE(C41,F41,I41)</f>
        <v>0.77</v>
      </c>
      <c r="D42" s="2">
        <f>AVERAGE(D41,G41,J41)</f>
        <v>0.79</v>
      </c>
      <c r="E42" s="2">
        <f>AVERAGE(E41,H41,K41)</f>
        <v>0.44333333333333336</v>
      </c>
    </row>
    <row r="43" spans="1:20" x14ac:dyDescent="0.2">
      <c r="C43" s="8" t="s">
        <v>18</v>
      </c>
      <c r="D43" s="8" t="s">
        <v>19</v>
      </c>
      <c r="E43" s="8" t="s">
        <v>20</v>
      </c>
      <c r="F43" s="8" t="s">
        <v>29</v>
      </c>
      <c r="G43" s="8" t="s">
        <v>18</v>
      </c>
      <c r="H43" s="8" t="s">
        <v>19</v>
      </c>
      <c r="I43" s="8" t="s">
        <v>20</v>
      </c>
      <c r="J43" s="8" t="s">
        <v>29</v>
      </c>
      <c r="K43" s="8" t="s">
        <v>18</v>
      </c>
      <c r="L43" s="8" t="s">
        <v>19</v>
      </c>
      <c r="M43" s="8" t="s">
        <v>20</v>
      </c>
      <c r="N43" s="8" t="s">
        <v>29</v>
      </c>
    </row>
    <row r="44" spans="1:20" x14ac:dyDescent="0.2">
      <c r="B44" t="s">
        <v>26</v>
      </c>
      <c r="C44">
        <v>0.82</v>
      </c>
      <c r="D44">
        <v>1</v>
      </c>
      <c r="E44">
        <v>1</v>
      </c>
      <c r="F44">
        <v>0.17</v>
      </c>
      <c r="G44">
        <v>0.68</v>
      </c>
      <c r="H44">
        <v>1</v>
      </c>
      <c r="I44">
        <v>1</v>
      </c>
      <c r="J44">
        <v>0.2</v>
      </c>
      <c r="K44">
        <v>0.87</v>
      </c>
      <c r="L44">
        <v>0.8</v>
      </c>
      <c r="M44">
        <v>0.8</v>
      </c>
      <c r="N44">
        <v>0.5</v>
      </c>
    </row>
    <row r="45" spans="1:20" x14ac:dyDescent="0.2">
      <c r="B45" t="s">
        <v>27</v>
      </c>
      <c r="C45" s="2">
        <f>AVERAGE(C44,G44,K44)</f>
        <v>0.79</v>
      </c>
      <c r="D45" s="2">
        <f>AVERAGE(D44,H44,L44)</f>
        <v>0.93333333333333324</v>
      </c>
      <c r="E45" s="2">
        <f>AVERAGE(E44,I44,M44)</f>
        <v>0.93333333333333324</v>
      </c>
      <c r="F45" s="2">
        <f>AVERAGE(F44,J44,N44)</f>
        <v>0.28999999999999998</v>
      </c>
    </row>
    <row r="49" spans="1:20" ht="24" x14ac:dyDescent="0.3">
      <c r="A49" s="7" t="s">
        <v>30</v>
      </c>
      <c r="C49" s="8" t="s">
        <v>18</v>
      </c>
      <c r="D49" s="8" t="s">
        <v>19</v>
      </c>
      <c r="E49" s="8" t="s">
        <v>20</v>
      </c>
      <c r="F49" s="8" t="s">
        <v>18</v>
      </c>
      <c r="G49" s="8" t="s">
        <v>19</v>
      </c>
      <c r="H49" s="8" t="s">
        <v>20</v>
      </c>
      <c r="I49" s="8" t="s">
        <v>18</v>
      </c>
      <c r="J49" s="8" t="s">
        <v>19</v>
      </c>
      <c r="K49" s="8" t="s">
        <v>20</v>
      </c>
      <c r="L49" s="8" t="s">
        <v>18</v>
      </c>
      <c r="M49" s="8" t="s">
        <v>19</v>
      </c>
      <c r="N49" s="8" t="s">
        <v>20</v>
      </c>
      <c r="O49" s="8" t="s">
        <v>18</v>
      </c>
      <c r="P49" s="8" t="s">
        <v>19</v>
      </c>
      <c r="Q49" s="8" t="s">
        <v>20</v>
      </c>
      <c r="R49" s="8" t="s">
        <v>18</v>
      </c>
      <c r="S49" s="8" t="s">
        <v>19</v>
      </c>
      <c r="T49" s="8" t="s">
        <v>20</v>
      </c>
    </row>
    <row r="50" spans="1:20" x14ac:dyDescent="0.2">
      <c r="B50" t="s">
        <v>23</v>
      </c>
      <c r="C50">
        <v>0.41</v>
      </c>
      <c r="D50">
        <v>0.75</v>
      </c>
      <c r="E50">
        <v>0.78</v>
      </c>
      <c r="F50">
        <v>0.44</v>
      </c>
      <c r="G50">
        <v>0.69</v>
      </c>
      <c r="H50">
        <v>0.7</v>
      </c>
      <c r="I50">
        <v>0.31</v>
      </c>
      <c r="J50">
        <v>0.86</v>
      </c>
      <c r="K50">
        <v>0.86</v>
      </c>
      <c r="L50">
        <v>0.34</v>
      </c>
      <c r="M50">
        <v>0.83</v>
      </c>
      <c r="N50">
        <v>0.83</v>
      </c>
      <c r="O50">
        <v>0.28000000000000003</v>
      </c>
      <c r="P50">
        <v>0.84</v>
      </c>
      <c r="Q50">
        <v>0.86</v>
      </c>
      <c r="R50">
        <v>0.3</v>
      </c>
      <c r="S50">
        <v>0.83</v>
      </c>
      <c r="T50">
        <v>0.83</v>
      </c>
    </row>
    <row r="51" spans="1:20" x14ac:dyDescent="0.2">
      <c r="B51" t="s">
        <v>31</v>
      </c>
      <c r="C51" s="2">
        <f>AVERAGE(C50,F50,I50,L50,O50,R50)</f>
        <v>0.34666666666666668</v>
      </c>
      <c r="D51" s="2">
        <f>AVERAGE(D50,G50,J50,M50,P50,S50)</f>
        <v>0.79999999999999993</v>
      </c>
      <c r="E51" s="2">
        <f>AVERAGE(E50,H50,K50,N50,Q50,T50)</f>
        <v>0.81</v>
      </c>
    </row>
    <row r="53" spans="1:20" x14ac:dyDescent="0.2">
      <c r="B53" t="s">
        <v>24</v>
      </c>
      <c r="C53">
        <v>0.8</v>
      </c>
      <c r="D53">
        <v>0.8</v>
      </c>
      <c r="E53">
        <v>0.76</v>
      </c>
      <c r="F53">
        <v>0.86</v>
      </c>
      <c r="G53">
        <v>0.86</v>
      </c>
      <c r="H53">
        <v>0.69</v>
      </c>
      <c r="I53">
        <v>0.55000000000000004</v>
      </c>
      <c r="J53">
        <v>0.94</v>
      </c>
      <c r="K53">
        <v>0.94</v>
      </c>
      <c r="L53">
        <v>0.62</v>
      </c>
      <c r="M53">
        <v>0.94</v>
      </c>
      <c r="N53">
        <v>0.94</v>
      </c>
      <c r="O53">
        <v>0.49</v>
      </c>
      <c r="P53">
        <v>0.7</v>
      </c>
      <c r="Q53">
        <v>0.71</v>
      </c>
      <c r="R53">
        <v>0.54</v>
      </c>
      <c r="S53">
        <v>0.94</v>
      </c>
      <c r="T53">
        <v>0.94</v>
      </c>
    </row>
    <row r="54" spans="1:20" x14ac:dyDescent="0.2">
      <c r="B54" t="s">
        <v>32</v>
      </c>
      <c r="C54" s="2">
        <f>AVERAGE(C53,F53,I53,L53,O53,R53)</f>
        <v>0.64333333333333342</v>
      </c>
      <c r="D54" s="2">
        <f>AVERAGE(D53,G53,J53,M53,P53,S53)</f>
        <v>0.86333333333333329</v>
      </c>
      <c r="E54" s="2">
        <f>AVERAGE(E53,H53,K53,N53,Q53,T53)</f>
        <v>0.82999999999999974</v>
      </c>
    </row>
    <row r="55" spans="1:20" x14ac:dyDescent="0.2">
      <c r="C55" s="2"/>
      <c r="D55" s="2"/>
      <c r="E55" s="2"/>
    </row>
    <row r="56" spans="1:20" x14ac:dyDescent="0.2">
      <c r="B56" t="s">
        <v>33</v>
      </c>
      <c r="D56">
        <v>0.69</v>
      </c>
      <c r="E56">
        <v>0.81</v>
      </c>
      <c r="G56">
        <v>0.52</v>
      </c>
      <c r="H56">
        <v>0.71</v>
      </c>
      <c r="J56">
        <v>0.77</v>
      </c>
      <c r="K56">
        <v>0.77</v>
      </c>
      <c r="M56">
        <v>0.72</v>
      </c>
      <c r="N56">
        <v>0.72</v>
      </c>
      <c r="P56">
        <v>0.97</v>
      </c>
      <c r="Q56">
        <v>1</v>
      </c>
      <c r="S56">
        <v>0.72</v>
      </c>
      <c r="T56">
        <v>0.72</v>
      </c>
    </row>
    <row r="57" spans="1:20" x14ac:dyDescent="0.2">
      <c r="B57" t="s">
        <v>35</v>
      </c>
      <c r="D57" s="2">
        <f t="shared" ref="D57" si="6">AVERAGE(D56,G56,J56,M56,P56,S56)</f>
        <v>0.73166666666666658</v>
      </c>
      <c r="E57" s="2">
        <f t="shared" ref="E57" si="7">AVERAGE(E56,H56,K56,N56,Q56,T56)</f>
        <v>0.78833333333333322</v>
      </c>
    </row>
    <row r="59" spans="1:20" ht="24" x14ac:dyDescent="0.3">
      <c r="A59" s="7" t="s">
        <v>10</v>
      </c>
      <c r="B59">
        <v>0.99</v>
      </c>
      <c r="C59" s="8" t="s">
        <v>18</v>
      </c>
      <c r="D59" s="8" t="s">
        <v>19</v>
      </c>
      <c r="E59" s="8" t="s">
        <v>20</v>
      </c>
      <c r="F59" s="8" t="s">
        <v>18</v>
      </c>
      <c r="G59" s="8" t="s">
        <v>19</v>
      </c>
      <c r="H59" s="8" t="s">
        <v>20</v>
      </c>
      <c r="I59" s="8" t="s">
        <v>18</v>
      </c>
      <c r="J59" s="8" t="s">
        <v>19</v>
      </c>
      <c r="K59" s="8" t="s">
        <v>20</v>
      </c>
      <c r="L59" s="8" t="s">
        <v>18</v>
      </c>
      <c r="M59" s="8" t="s">
        <v>19</v>
      </c>
      <c r="N59" s="8" t="s">
        <v>20</v>
      </c>
      <c r="O59" s="8" t="s">
        <v>18</v>
      </c>
      <c r="P59" s="8" t="s">
        <v>19</v>
      </c>
      <c r="Q59" s="8" t="s">
        <v>20</v>
      </c>
      <c r="R59" s="8" t="s">
        <v>18</v>
      </c>
      <c r="S59" s="8" t="s">
        <v>19</v>
      </c>
      <c r="T59" s="8" t="s">
        <v>20</v>
      </c>
    </row>
    <row r="60" spans="1:20" x14ac:dyDescent="0.2">
      <c r="B60" t="s">
        <v>23</v>
      </c>
      <c r="C60">
        <v>0.46</v>
      </c>
      <c r="D60">
        <v>0.45</v>
      </c>
      <c r="E60">
        <v>0.45</v>
      </c>
      <c r="F60">
        <v>0.47</v>
      </c>
      <c r="G60">
        <v>0.41</v>
      </c>
      <c r="H60">
        <v>0.4</v>
      </c>
      <c r="I60">
        <v>0.48</v>
      </c>
      <c r="J60">
        <v>0.47</v>
      </c>
      <c r="K60">
        <v>0.46</v>
      </c>
      <c r="L60">
        <v>0.47</v>
      </c>
      <c r="M60">
        <v>0.43</v>
      </c>
      <c r="N60">
        <v>0.42</v>
      </c>
      <c r="O60">
        <v>0.47</v>
      </c>
      <c r="P60">
        <v>0.44</v>
      </c>
      <c r="Q60">
        <v>0.44</v>
      </c>
      <c r="R60">
        <v>0.47</v>
      </c>
      <c r="S60">
        <v>0.46</v>
      </c>
      <c r="T60">
        <v>0.44</v>
      </c>
    </row>
    <row r="61" spans="1:20" x14ac:dyDescent="0.2">
      <c r="B61" t="s">
        <v>31</v>
      </c>
      <c r="C61" s="2">
        <f>AVERAGE(C60,F60,I60,L60,O60,R60)</f>
        <v>0.46999999999999992</v>
      </c>
      <c r="D61" s="2">
        <f t="shared" ref="D61" si="8">AVERAGE(D60,G60,J60,M60,P60,S60)</f>
        <v>0.44333333333333336</v>
      </c>
      <c r="E61" s="2">
        <f>AVERAGE(E60,H60,K60,N60,Q60,T60)</f>
        <v>0.435</v>
      </c>
    </row>
    <row r="63" spans="1:20" x14ac:dyDescent="0.2">
      <c r="B63" t="s">
        <v>24</v>
      </c>
      <c r="C63">
        <v>0.93</v>
      </c>
      <c r="D63">
        <v>0.81</v>
      </c>
      <c r="E63">
        <v>0.8</v>
      </c>
      <c r="F63">
        <v>0.93</v>
      </c>
      <c r="G63">
        <v>0.74</v>
      </c>
      <c r="H63">
        <v>0.7</v>
      </c>
      <c r="I63">
        <v>0.95</v>
      </c>
      <c r="J63">
        <v>0.89</v>
      </c>
      <c r="K63">
        <v>0.86</v>
      </c>
      <c r="L63">
        <v>0.94</v>
      </c>
      <c r="M63">
        <v>0.81</v>
      </c>
      <c r="N63">
        <v>0.79</v>
      </c>
      <c r="O63">
        <v>0.93</v>
      </c>
      <c r="P63">
        <v>0.78</v>
      </c>
      <c r="Q63">
        <v>0.77</v>
      </c>
      <c r="R63">
        <v>0.95</v>
      </c>
      <c r="S63">
        <v>0.86</v>
      </c>
      <c r="T63">
        <v>0.82</v>
      </c>
    </row>
    <row r="64" spans="1:20" x14ac:dyDescent="0.2">
      <c r="B64" t="s">
        <v>32</v>
      </c>
      <c r="C64" s="2">
        <f>AVERAGE(C63,F63,I63,L63,O63,R63)</f>
        <v>0.93833333333333335</v>
      </c>
      <c r="D64" s="2">
        <f>AVERAGE(D63,G63,J63,M63,P63,S63)</f>
        <v>0.81500000000000006</v>
      </c>
      <c r="E64" s="2">
        <f>AVERAGE(E63,H63,K63,N63,Q63,T63)</f>
        <v>0.79</v>
      </c>
    </row>
    <row r="66" spans="1:14" x14ac:dyDescent="0.2">
      <c r="B66">
        <v>0.95</v>
      </c>
    </row>
    <row r="72" spans="1:14" ht="47" x14ac:dyDescent="0.55000000000000004">
      <c r="A72" s="6" t="s">
        <v>41</v>
      </c>
      <c r="B72" s="1"/>
      <c r="C72" s="9" t="s">
        <v>28</v>
      </c>
      <c r="D72" s="9" t="s">
        <v>18</v>
      </c>
      <c r="E72" s="9" t="s">
        <v>29</v>
      </c>
      <c r="F72" s="9" t="s">
        <v>28</v>
      </c>
      <c r="G72" s="9" t="s">
        <v>18</v>
      </c>
      <c r="H72" s="9" t="s">
        <v>29</v>
      </c>
      <c r="I72" s="9" t="s">
        <v>28</v>
      </c>
      <c r="J72" s="9" t="s">
        <v>18</v>
      </c>
      <c r="K72" s="9" t="s">
        <v>29</v>
      </c>
      <c r="L72" s="1"/>
      <c r="M72" s="1"/>
      <c r="N72" s="1"/>
    </row>
    <row r="73" spans="1:14" ht="24" x14ac:dyDescent="0.3">
      <c r="A73" s="10" t="s">
        <v>7</v>
      </c>
      <c r="B73" s="1" t="s">
        <v>26</v>
      </c>
      <c r="C73" s="1">
        <v>0.76</v>
      </c>
      <c r="D73" s="1">
        <v>0.82</v>
      </c>
      <c r="E73" s="1">
        <v>0.28000000000000003</v>
      </c>
      <c r="F73" s="1">
        <v>0.69</v>
      </c>
      <c r="G73" s="1">
        <v>0.68</v>
      </c>
      <c r="H73" s="1">
        <v>0.48</v>
      </c>
      <c r="I73" s="1">
        <v>0.86</v>
      </c>
      <c r="J73" s="1">
        <v>0.87</v>
      </c>
      <c r="K73" s="1">
        <v>0.56999999999999995</v>
      </c>
      <c r="L73" s="1"/>
      <c r="M73" s="1"/>
      <c r="N73" s="1"/>
    </row>
    <row r="74" spans="1:14" x14ac:dyDescent="0.2">
      <c r="A74" s="1"/>
      <c r="B74" s="1" t="s">
        <v>27</v>
      </c>
      <c r="C74" s="11">
        <v>0.77</v>
      </c>
      <c r="D74" s="11">
        <v>0.79</v>
      </c>
      <c r="E74" s="11">
        <v>0.44</v>
      </c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1"/>
      <c r="C75" s="9" t="s">
        <v>18</v>
      </c>
      <c r="D75" s="9" t="s">
        <v>19</v>
      </c>
      <c r="E75" s="9" t="s">
        <v>20</v>
      </c>
      <c r="F75" s="9" t="s">
        <v>29</v>
      </c>
      <c r="G75" s="9" t="s">
        <v>18</v>
      </c>
      <c r="H75" s="9" t="s">
        <v>19</v>
      </c>
      <c r="I75" s="9" t="s">
        <v>20</v>
      </c>
      <c r="J75" s="9" t="s">
        <v>29</v>
      </c>
      <c r="K75" s="9" t="s">
        <v>18</v>
      </c>
      <c r="L75" s="9" t="s">
        <v>19</v>
      </c>
      <c r="M75" s="9" t="s">
        <v>20</v>
      </c>
      <c r="N75" s="9" t="s">
        <v>29</v>
      </c>
    </row>
    <row r="76" spans="1:14" x14ac:dyDescent="0.2">
      <c r="A76" s="1"/>
      <c r="B76" s="1" t="s">
        <v>26</v>
      </c>
      <c r="C76" s="1">
        <v>0.82</v>
      </c>
      <c r="D76" s="1">
        <v>1</v>
      </c>
      <c r="E76" s="1">
        <v>1</v>
      </c>
      <c r="F76" s="1">
        <v>0.17</v>
      </c>
      <c r="G76" s="1">
        <v>0.68</v>
      </c>
      <c r="H76" s="1">
        <v>1</v>
      </c>
      <c r="I76" s="1">
        <v>1</v>
      </c>
      <c r="J76" s="1">
        <v>0.2</v>
      </c>
      <c r="K76" s="1">
        <v>0.87</v>
      </c>
      <c r="L76" s="1">
        <v>0.8</v>
      </c>
      <c r="M76" s="1">
        <v>0.8</v>
      </c>
      <c r="N76" s="1">
        <v>0.5</v>
      </c>
    </row>
    <row r="77" spans="1:14" x14ac:dyDescent="0.2">
      <c r="A77" s="1"/>
      <c r="B77" s="1" t="s">
        <v>27</v>
      </c>
      <c r="C77" s="11">
        <v>0.79</v>
      </c>
      <c r="D77" s="11">
        <v>0.93</v>
      </c>
      <c r="E77" s="11">
        <v>0.93</v>
      </c>
      <c r="F77" s="11">
        <v>0.28999999999999998</v>
      </c>
      <c r="G77" s="1"/>
      <c r="H77" s="1"/>
      <c r="I77" s="1"/>
      <c r="J77" s="1"/>
      <c r="K77" s="1"/>
      <c r="L77" s="1"/>
      <c r="M77" s="1"/>
      <c r="N77" s="1"/>
    </row>
  </sheetData>
  <mergeCells count="13">
    <mergeCell ref="U3:Y3"/>
    <mergeCell ref="Z3:AD3"/>
    <mergeCell ref="AE3:AI3"/>
    <mergeCell ref="O16:Q16"/>
    <mergeCell ref="R16:T16"/>
    <mergeCell ref="A3:E3"/>
    <mergeCell ref="F3:J3"/>
    <mergeCell ref="K3:O3"/>
    <mergeCell ref="P3:T3"/>
    <mergeCell ref="F16:H16"/>
    <mergeCell ref="C16:E16"/>
    <mergeCell ref="I16:K16"/>
    <mergeCell ref="L16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2021-03-24T13:51:31Z</dcterms:created>
  <dcterms:modified xsi:type="dcterms:W3CDTF">2021-04-01T22:26:57Z</dcterms:modified>
</cp:coreProperties>
</file>